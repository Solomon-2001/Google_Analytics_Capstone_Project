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solomonebrahimoff/Documents/CaseStudy/"/>
    </mc:Choice>
  </mc:AlternateContent>
  <xr:revisionPtr revIDLastSave="0" documentId="8_{6D6E8ADF-A8C4-274F-B272-0DA2B23CCCA4}" xr6:coauthVersionLast="47" xr6:coauthVersionMax="47" xr10:uidLastSave="{00000000-0000-0000-0000-000000000000}"/>
  <bookViews>
    <workbookView xWindow="0" yWindow="0" windowWidth="28800" windowHeight="18000" xr2:uid="{953214EA-F3F6-FE45-8FE1-A9BDA9A18C2B}"/>
  </bookViews>
  <sheets>
    <sheet name="summary_by_user" sheetId="2" r:id="rId1"/>
    <sheet name="summary_by_weekday" sheetId="3" r:id="rId2"/>
    <sheet name="summary_by_hour" sheetId="1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<sst xmlns="http://schemas.openxmlformats.org/spreadsheetml/2006/main" count="130" uniqueCount="20">
  <si>
    <t>member_casual</t>
  </si>
  <si>
    <t>start_hour</t>
  </si>
  <si>
    <t>rides</t>
  </si>
  <si>
    <t>casual</t>
  </si>
  <si>
    <t>member</t>
  </si>
  <si>
    <t>avg_ride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</si>
  <si>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</si>
  <si>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</si>
  <si>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</si>
  <si>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</si>
  <si>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</si>
  <si>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</si>
  <si>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</si>
  <si>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</si>
  <si>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Row Labels</t>
  </si>
  <si>
    <t>Grand Total</t>
  </si>
  <si>
    <t>Sum of rides</t>
  </si>
  <si>
    <t>Sum of avg_ride</t>
  </si>
  <si>
    <t>overall average ride length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</si>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</sst>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1" xfId="0" applyNumberFormat="1" applyBorder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8" xfId="0" applyNumberFormat="1" applyBorder="1"/>
    <xf numFmtId="0" fontId="0" fillId="0" borderId="9" xfId="0" applyBorder="1"/>
    <xf numFmtId="0" fontId="0" fillId="0" borderId="8" xfId="0" applyBorder="1"/>
    <xf numFmtId="0" fontId="2" fillId="0" borderId="0" xfId="0" applyFon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>
                <a:solidFill>
                  <a:sysClr val="windowText" lastClr="000000"/>
                </a:solidFill>
              </a:rPr>
              <a:t>Casual riders take nearly 2× longer trips</a:t>
            </a:r>
            <a:endParaRPr lang="en-GB" b="1" i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15007883064805E-2"/>
          <c:y val="0.24222626330607197"/>
          <c:w val="0.90139723122307069"/>
          <c:h val="0.5500891459145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summary_by_user!$B$1</c:f>
              <c:strCache>
                <c:ptCount val="1"/>
                <c:pt idx="0">
                  <c:v>avg_ride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summary_by_user!$A$2:$A$3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summary_by_user!$B$2:$B$3</c:f>
              <c:numCache>
                <c:formatCode>0.00</c:formatCode>
                <c:ptCount val="2"/>
                <c:pt idx="0">
                  <c:v>22.891579939777198</c:v>
                </c:pt>
                <c:pt idx="1">
                  <c:v>12.1124648656132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8-4C48-9BEF-0E40D1594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895472"/>
        <c:axId val="610897184"/>
      </c:barChart>
      <c:catAx>
        <c:axId val="61089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>
                    <a:solidFill>
                      <a:sysClr val="windowText" lastClr="000000"/>
                    </a:solidFill>
                  </a:rPr>
                  <a:t>member_casual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>
                    <a:solidFill>
                      <a:sysClr val="windowText" lastClr="000000"/>
                    </a:solidFill>
                  </a:defRPr>
                </a:pPr>
                <a:endParaRPr lang="en-GB" sz="16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877362730661631"/>
              <c:y val="0.87497130458651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97184"/>
        <c:crosses val="autoZero"/>
        <c:auto val="1"/>
        <c:lblAlgn val="ctr"/>
        <c:lblOffset val="100"/>
        <c:noMultiLvlLbl val="0"/>
      </c:catAx>
      <c:valAx>
        <c:axId val="61089718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>
                    <a:solidFill>
                      <a:sysClr val="windowText" lastClr="000000"/>
                    </a:solidFill>
                  </a:rPr>
                  <a:t>Average</a:t>
                </a:r>
                <a:r>
                  <a:rPr lang="en-GB" sz="1400" b="1" baseline="0">
                    <a:solidFill>
                      <a:sysClr val="windowText" lastClr="000000"/>
                    </a:solidFill>
                  </a:rPr>
                  <a:t> Ride</a:t>
                </a:r>
              </a:p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en-GB" sz="1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748492650948808E-4"/>
              <c:y val="0.45932575782217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9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667412413909927"/>
          <c:y val="0.91405486726864826"/>
          <c:w val="0.10348848871402778"/>
          <c:h val="6.8113609734420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[CaseStudy.xlsx]summary_by_user!PivotTable5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Members take more rides than casual riders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summary_by_user!$B$5</c:f>
              <c:strCache>
                <c:ptCount val="1"/>
                <c:pt idx="0">
                  <c:v>Sum of avg_ride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summary_by_user!$A$6:$A$8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summary_by_user!$B$6:$B$8</c:f>
              <c:numCache>
                <c:formatCode>General</c:formatCode>
                <c:ptCount val="2"/>
                <c:pt idx="0">
                  <c:v>22.891579939777198</c:v>
                </c:pt>
                <c:pt idx="1">
                  <c:v>12.1124648656132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1-C64B-8A8D-1F535A34AE5B}"/>
            </c:ext>
          </c:extLst>
        </c:ser>
        <c:ser>
          <c:idx val="1"/>
          <c:order val="1"/>
          <c:tx>
            <c:strRef>
              <c:f>summary_by_user!$C$5</c:f>
              <c:strCache>
                <c:ptCount val="1"/>
                <c:pt idx="0">
                  <c:v>Sum of rides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summary_by_user!$A$6:$A$8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summary_by_user!$C$6:$C$8</c:f>
              <c:numCache>
                <c:formatCode>General</c:formatCode>
                <c:ptCount val="2"/>
                <c:pt idx="0">
                  <c:v>2077478</c:v>
                </c:pt>
                <c:pt idx="1">
                  <c:v>3568517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31-C64B-8A8D-1F535A34A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5251584"/>
        <c:axId val="215253296"/>
      </c:barChart>
      <c:catAx>
        <c:axId val="21525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53296"/>
        <c:crosses val="autoZero"/>
        <c:auto val="1"/>
        <c:lblAlgn val="ctr"/>
        <c:lblOffset val="100"/>
        <c:noMultiLvlLbl val="0"/>
      </c:catAx>
      <c:valAx>
        <c:axId val="215253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515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2009203904304612E-2"/>
                <c:y val="0.32166772381194275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 sz="1400"/>
                    <a:t>Total Rides (Millions)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159887854157048"/>
          <c:y val="0.50859581736860227"/>
          <c:w val="0.12840112145842947"/>
          <c:h val="5.9264591241765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[CaseStudy.xlsx]summary_by_weekday!PivotTable6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877438023427278E-2"/>
          <c:y val="0.18467782743373296"/>
          <c:w val="0.75394247594050745"/>
          <c:h val="0.588629188793261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summary_by_weekday!$G$1:$G$2</c:f>
              <c:strCache>
                <c:ptCount val="1"/>
                <c:pt idx="0">
                  <c:v>casual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summary_by_weekday!$F$3:$F$10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summary_by_weekday!$G$3:$G$10</c:f>
              <c:numCache>
                <c:formatCode>General</c:formatCode>
                <c:ptCount val="7"/>
                <c:pt idx="0">
                  <c:v>22.255143718355999</c:v>
                </c:pt>
                <c:pt idx="1">
                  <c:v>19.940817839841198</c:v>
                </c:pt>
                <c:pt idx="2">
                  <c:v>19.1772197983796</c:v>
                </c:pt>
                <c:pt idx="3">
                  <c:v>20.098871349852899</c:v>
                </c:pt>
                <c:pt idx="4">
                  <c:v>22.515726692103598</c:v>
                </c:pt>
                <c:pt idx="5">
                  <c:v>25.9518075194738</c:v>
                </c:pt>
                <c:pt idx="6">
                  <c:v>26.432082405499202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8-F94D-8323-C30BF0427FD2}"/>
            </c:ext>
          </c:extLst>
        </c:ser>
        <c:ser>
          <c:idx val="1"/>
          <c:order val="1"/>
          <c:tx>
            <c:strRef>
              <c:f>summary_by_weekday!$H$1:$H$2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summary_by_weekday!$F$3:$F$10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summary_by_weekday!$H$3:$H$10</c:f>
              <c:numCache>
                <c:formatCode>General</c:formatCode>
                <c:ptCount val="7"/>
                <c:pt idx="0">
                  <c:v>11.601994779211999</c:v>
                </c:pt>
                <c:pt idx="1">
                  <c:v>11.677170334912701</c:v>
                </c:pt>
                <c:pt idx="2">
                  <c:v>11.5879813244131</c:v>
                </c:pt>
                <c:pt idx="3">
                  <c:v>11.705088807752</c:v>
                </c:pt>
                <c:pt idx="4">
                  <c:v>12.0543784349489</c:v>
                </c:pt>
                <c:pt idx="5">
                  <c:v>13.2622774357241</c:v>
                </c:pt>
                <c:pt idx="6">
                  <c:v>13.450323059115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8-F94D-8323-C30BF0427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8701568"/>
        <c:axId val="608703280"/>
      </c:barChart>
      <c:catAx>
        <c:axId val="60870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/>
                  <a:t>Days of the Week</a:t>
                </a:r>
              </a:p>
              <a:p>
                <a:pPr>
                  <a:defRPr/>
                </a:pPr>
                <a:endParaRPr lang="en-GB" i="0"/>
              </a:p>
            </c:rich>
          </c:tx>
          <c:layout>
            <c:manualLayout>
              <c:xMode val="edge"/>
              <c:yMode val="edge"/>
              <c:x val="0.38191641742456617"/>
              <c:y val="0.90812064032536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703280"/>
        <c:crosses val="autoZero"/>
        <c:auto val="1"/>
        <c:lblAlgn val="ctr"/>
        <c:lblOffset val="100"/>
        <c:noMultiLvlLbl val="0"/>
      </c:catAx>
      <c:valAx>
        <c:axId val="60870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Average</a:t>
                </a:r>
                <a:r>
                  <a:rPr lang="en-GB" sz="1200" b="1" baseline="0"/>
                  <a:t> Rides</a:t>
                </a:r>
              </a:p>
              <a:p>
                <a:pPr>
                  <a:defRPr sz="1200" b="1"/>
                </a:pP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70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54138727358731"/>
          <c:y val="0.4184748528055614"/>
          <c:w val="0.11051236749116608"/>
          <c:h val="0.125395710671301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[CaseStudy.xlsx]summary_by_hour!PivotTable4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i="0"/>
              <a:t>Members peak at 8am/5pm; casuals peak midday.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47625492125984"/>
          <c:y val="5.7394253920739234E-2"/>
          <c:w val="0.6041065452755906"/>
          <c:h val="0.83809271747730096"/>
        </c:manualLayout>
      </c:layout>
      <c:lineChart>
        <c:grouping val="standard"/>
        <c:varyColors val="0"/>
        <c:ser>
          <c:idx val="0"/>
          <c:order val="0"/>
          <c:tx>
            <c:strRef>
              <c:f>summary_by_hour!$F$1:$F$2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summary_by_hour!$E$3:$E$27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summary_by_hour!$F$3:$F$27</c:f>
              <c:numCache>
                <c:formatCode>General</c:formatCode>
                <c:ptCount val="24"/>
                <c:pt idx="0">
                  <c:v>37865</c:v>
                </c:pt>
                <c:pt idx="1">
                  <c:v>24580</c:v>
                </c:pt>
                <c:pt idx="2">
                  <c:v>15879</c:v>
                </c:pt>
                <c:pt idx="3">
                  <c:v>8835</c:v>
                </c:pt>
                <c:pt idx="4">
                  <c:v>7041</c:v>
                </c:pt>
                <c:pt idx="5">
                  <c:v>12213</c:v>
                </c:pt>
                <c:pt idx="6">
                  <c:v>28706</c:v>
                </c:pt>
                <c:pt idx="7">
                  <c:v>53001</c:v>
                </c:pt>
                <c:pt idx="8">
                  <c:v>75803</c:v>
                </c:pt>
                <c:pt idx="9">
                  <c:v>74597</c:v>
                </c:pt>
                <c:pt idx="10">
                  <c:v>89744</c:v>
                </c:pt>
                <c:pt idx="11">
                  <c:v>114383</c:v>
                </c:pt>
                <c:pt idx="12">
                  <c:v>133104</c:v>
                </c:pt>
                <c:pt idx="13">
                  <c:v>137587</c:v>
                </c:pt>
                <c:pt idx="14">
                  <c:v>144676</c:v>
                </c:pt>
                <c:pt idx="15">
                  <c:v>161603</c:v>
                </c:pt>
                <c:pt idx="16">
                  <c:v>183217</c:v>
                </c:pt>
                <c:pt idx="17">
                  <c:v>196496</c:v>
                </c:pt>
                <c:pt idx="18">
                  <c:v>168667</c:v>
                </c:pt>
                <c:pt idx="19">
                  <c:v>125267</c:v>
                </c:pt>
                <c:pt idx="20">
                  <c:v>91161</c:v>
                </c:pt>
                <c:pt idx="21">
                  <c:v>77887</c:v>
                </c:pt>
                <c:pt idx="22">
                  <c:v>67046</c:v>
                </c:pt>
                <c:pt idx="23">
                  <c:v>48120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2-8049-A728-D77461E62420}"/>
            </c:ext>
          </c:extLst>
        </c:ser>
        <c:ser>
          <c:idx val="1"/>
          <c:order val="1"/>
          <c:tx>
            <c:strRef>
              <c:f>summary_by_hour!$G$1:$G$2</c:f>
              <c:strCache>
                <c:ptCount val="1"/>
                <c:pt idx="0">
                  <c:v>member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summary_by_hour!$E$3:$E$27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summary_by_hour!$G$3:$G$27</c:f>
              <c:numCache>
                <c:formatCode>General</c:formatCode>
                <c:ptCount val="24"/>
                <c:pt idx="0">
                  <c:v>32244</c:v>
                </c:pt>
                <c:pt idx="1">
                  <c:v>20146</c:v>
                </c:pt>
                <c:pt idx="2">
                  <c:v>11919</c:v>
                </c:pt>
                <c:pt idx="3">
                  <c:v>8095</c:v>
                </c:pt>
                <c:pt idx="4">
                  <c:v>8894</c:v>
                </c:pt>
                <c:pt idx="5">
                  <c:v>33778</c:v>
                </c:pt>
                <c:pt idx="6">
                  <c:v>101257</c:v>
                </c:pt>
                <c:pt idx="7">
                  <c:v>199891</c:v>
                </c:pt>
                <c:pt idx="8">
                  <c:v>257580</c:v>
                </c:pt>
                <c:pt idx="9">
                  <c:v>170871</c:v>
                </c:pt>
                <c:pt idx="10">
                  <c:v>146472</c:v>
                </c:pt>
                <c:pt idx="11">
                  <c:v>171804</c:v>
                </c:pt>
                <c:pt idx="12">
                  <c:v>192798</c:v>
                </c:pt>
                <c:pt idx="13">
                  <c:v>188151</c:v>
                </c:pt>
                <c:pt idx="14">
                  <c:v>190696</c:v>
                </c:pt>
                <c:pt idx="15">
                  <c:v>238579</c:v>
                </c:pt>
                <c:pt idx="16">
                  <c:v>333735</c:v>
                </c:pt>
                <c:pt idx="17">
                  <c:v>379485</c:v>
                </c:pt>
                <c:pt idx="18">
                  <c:v>294415</c:v>
                </c:pt>
                <c:pt idx="19">
                  <c:v>204279</c:v>
                </c:pt>
                <c:pt idx="20">
                  <c:v>141932</c:v>
                </c:pt>
                <c:pt idx="21">
                  <c:v>110501</c:v>
                </c:pt>
                <c:pt idx="22">
                  <c:v>80291</c:v>
                </c:pt>
                <c:pt idx="23">
                  <c:v>50704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B2-8049-A728-D77461E62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053279"/>
        <c:axId val="842097599"/>
      </c:lineChart>
      <c:catAx>
        <c:axId val="95605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/>
                  <a:t>Hour of Day (0–23)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97599"/>
        <c:crosses val="autoZero"/>
        <c:auto val="0"/>
        <c:lblAlgn val="ctr"/>
        <c:lblOffset val="100"/>
        <c:tickMarkSkip val="1"/>
        <c:noMultiLvlLbl val="0"/>
      </c:catAx>
      <c:valAx>
        <c:axId val="842097599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/>
                  <a:t>Number of Rides</a:t>
                </a:r>
              </a:p>
            </c:rich>
          </c:tx>
          <c:layout>
            <c:manualLayout>
              <c:xMode val="edge"/>
              <c:yMode val="edge"/>
              <c:x val="3.8684670275590548E-2"/>
              <c:y val="0.36061448584435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53279"/>
        <c:crossesAt val="1"/>
        <c:crossBetween val="midCat"/>
        <c:majorUnit val="5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423334</xdr:colOff>
      <xdr:row>0</xdr:row>
      <xdr:rowOff>175172</xdr:rowOff>
    </xdr:from>
    <xdr:to>
      <xdr:col>15</xdr:col>
      <xdr:colOff>613103</xdr:colOff>
      <xdr:row>21</xdr:row>
      <xdr:rowOff>156779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CFF3B4-6E36-2467-B5B9-B47A8B690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423332</xdr:colOff>
      <xdr:row>22</xdr:row>
      <xdr:rowOff>124664</xdr:rowOff>
    </xdr:from>
    <xdr:to>
      <xdr:col>15</xdr:col>
      <xdr:colOff>642299</xdr:colOff>
      <xdr:row>47</xdr:row>
      <xdr:rowOff>102184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1EC302-D7B0-E74F-64B4-5D5077187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46</xdr:row>
      <xdr:rowOff>-1</xdr:rowOff>
    </xdr:from>
    <xdr:to>
      <xdr:col>10</xdr:col>
      <xdr:colOff>759080</xdr:colOff>
      <xdr:row>47</xdr:row>
      <xdr:rowOff>58391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FAF1EA-104B-71F3-8CFA-A3DEE6BBABE0}"/>
            </a:ext>
          </a:extLst>
        </xdr:cNvPr>
        <xdr:cNvSpPr txBox="1"/>
      </xdr:nvSpPr>
      <xdr:spPr>
        <a:xfrm>
          <a:off x="7941149" y="9400919"/>
          <a:ext cx="1591149" cy="262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>
              <a:solidFill>
                <a:sysClr val="windowText" lastClr="000000"/>
              </a:solidFill>
            </a:rPr>
            <a:t>member_casual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787400</xdr:colOff>
      <xdr:row>12</xdr:row>
      <xdr:rowOff>38100</xdr:rowOff>
    </xdr:from>
    <xdr:to>
      <xdr:col>13</xdr:col>
      <xdr:colOff>546100</xdr:colOff>
      <xdr:row>33</xdr:row>
      <xdr:rowOff>0</xdr:rowOff>
    </xdr:to>
    <xdr:graphicFrame macro="">
      <xdr:nvGraphicFramePr>
        <xdr:cNvPr id="3" name="Casual rides spike on weekends; members stay steady through weekdays.">
          <a:extLst>
            <a:ext uri="{FF2B5EF4-FFF2-40B4-BE49-F238E27FC236}">
              <a16:creationId xmlns:a16="http://schemas.microsoft.com/office/drawing/2014/main" id="{FDAD8E65-45FE-BE0A-FC02-0CADB26A4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0.24167</cdr:x>
      <cdr:y>0.03721</cdr:y>
    </cdr:from>
    <cdr:to>
      <cdr:x>0.63056</cdr:x>
      <cdr:y>0.08837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9B5FA7-E7F7-38FA-2349-FE42EE8C7DAA}"/>
            </a:ext>
          </a:extLst>
        </cdr:cNvPr>
        <cdr:cNvSpPr txBox="1"/>
      </cdr:nvSpPr>
      <cdr:spPr>
        <a:xfrm xmlns:a="http://schemas.openxmlformats.org/drawingml/2006/main">
          <a:off x="1104900" y="101600"/>
          <a:ext cx="1778000" cy="139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0.05278</cdr:x>
      <cdr:y>0.03239</cdr:y>
    </cdr:from>
    <cdr:to>
      <cdr:x>1</cdr:x>
      <cdr:y>0.15789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9B0DE65-34CC-E862-3777-BC826B0C1558}"/>
            </a:ext>
          </a:extLst>
        </cdr:cNvPr>
        <cdr:cNvSpPr txBox="1"/>
      </cdr:nvSpPr>
      <cdr:spPr>
        <a:xfrm xmlns:a="http://schemas.openxmlformats.org/drawingml/2006/main">
          <a:off x="241300" y="101600"/>
          <a:ext cx="4330700" cy="393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 i="1"/>
            <a:t>Casual rides spike on weekends; members stay steady through weekdays.</a:t>
          </a:r>
          <a:endParaRPr lang="en-GB" sz="1400" b="1"/>
        </a:p>
        <a:p xmlns:a="http://schemas.openxmlformats.org/drawingml/2006/main">
          <a:endParaRPr lang="en-GB" sz="14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469900</xdr:colOff>
      <xdr:row>1</xdr:row>
      <xdr:rowOff>0</xdr:rowOff>
    </xdr:from>
    <xdr:to>
      <xdr:col>18</xdr:col>
      <xdr:colOff>342900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BBAC5-9369-03F2-148D-80A36F454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G-Ebrahimoff, Solomon" refreshedDate="45918.448560648147" createdVersion="8" refreshedVersion="8" minRefreshableVersion="3" recordCount="48" xr:uid="{D6A3D111-4AA1-2840-90F2-E6D4EF796DDA}">
  <cacheSource type="worksheet">
    <worksheetSource ref="A1:C49" sheet="summary_by_hour"/>
  </cacheSource>
  <cacheFields count="3">
    <cacheField name="member_casual" numFmtId="0">
      <sharedItems count="2">
        <s v="casual"/>
        <s v="member"/>
      </sharedItems>
    </cacheField>
    <cacheField name="start_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rides" numFmtId="0">
      <sharedItems containsSemiMixedTypes="0" containsString="0" containsNumber="1" containsInteger="1" minValue="7041" maxValue="3794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G-Ebrahimoff, Solomon" refreshedDate="45918.451036689818" createdVersion="8" refreshedVersion="8" minRefreshableVersion="3" recordCount="2" xr:uid="{82D71E32-1D6A-EE40-B4BB-5BD6280588B6}">
  <cacheSource type="worksheet">
    <worksheetSource ref="A1:C3" sheet="summary_by_user"/>
  </cacheSource>
  <cacheFields count="3">
    <cacheField name="member_casual" numFmtId="0">
      <sharedItems count="2">
        <s v="casual"/>
        <s v="member"/>
      </sharedItems>
    </cacheField>
    <cacheField name="avg_ride" numFmtId="0">
      <sharedItems containsSemiMixedTypes="0" containsString="0" containsNumber="1" minValue="12.1124648656132" maxValue="22.891579939777198"/>
    </cacheField>
    <cacheField name="rides" numFmtId="0">
      <sharedItems containsSemiMixedTypes="0" containsString="0" containsNumber="1" containsInteger="1" minValue="2077478" maxValue="35685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G-Ebrahimoff, Solomon" refreshedDate="45918.45148009259" createdVersion="8" refreshedVersion="8" minRefreshableVersion="3" recordCount="14" xr:uid="{92894205-4DBA-5F4C-9EBA-EC0A72FE9E4B}">
  <cacheSource type="worksheet">
    <worksheetSource ref="A1:D15" sheet="summary_by_weekday"/>
  </cacheSource>
  <cacheFields count="4">
    <cacheField name="member_casual" numFmtId="0">
      <sharedItems count="2">
        <s v="casual"/>
        <s v="member"/>
      </sharedItems>
    </cacheField>
    <cacheField name="day_of_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avg_ride" numFmtId="0">
      <sharedItems containsSemiMixedTypes="0" containsString="0" containsNumber="1" minValue="11.5879813244131" maxValue="26.432082405499202"/>
    </cacheField>
    <cacheField name="rides" numFmtId="0">
      <sharedItems containsSemiMixedTypes="0" containsString="0" containsNumber="1" containsInteger="1" minValue="231068" maxValue="5646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37865"/>
  </r>
  <r>
    <x v="0"/>
    <x v="1"/>
    <n v="24580"/>
  </r>
  <r>
    <x v="0"/>
    <x v="2"/>
    <n v="15879"/>
  </r>
  <r>
    <x v="0"/>
    <x v="3"/>
    <n v="8835"/>
  </r>
  <r>
    <x v="0"/>
    <x v="4"/>
    <n v="7041"/>
  </r>
  <r>
    <x v="0"/>
    <x v="5"/>
    <n v="12213"/>
  </r>
  <r>
    <x v="0"/>
    <x v="6"/>
    <n v="28706"/>
  </r>
  <r>
    <x v="0"/>
    <x v="7"/>
    <n v="53001"/>
  </r>
  <r>
    <x v="0"/>
    <x v="8"/>
    <n v="75803"/>
  </r>
  <r>
    <x v="0"/>
    <x v="9"/>
    <n v="74597"/>
  </r>
  <r>
    <x v="0"/>
    <x v="10"/>
    <n v="89744"/>
  </r>
  <r>
    <x v="0"/>
    <x v="11"/>
    <n v="114383"/>
  </r>
  <r>
    <x v="0"/>
    <x v="12"/>
    <n v="133104"/>
  </r>
  <r>
    <x v="0"/>
    <x v="13"/>
    <n v="137587"/>
  </r>
  <r>
    <x v="0"/>
    <x v="14"/>
    <n v="144676"/>
  </r>
  <r>
    <x v="0"/>
    <x v="15"/>
    <n v="161603"/>
  </r>
  <r>
    <x v="0"/>
    <x v="16"/>
    <n v="183217"/>
  </r>
  <r>
    <x v="0"/>
    <x v="17"/>
    <n v="196496"/>
  </r>
  <r>
    <x v="0"/>
    <x v="18"/>
    <n v="168667"/>
  </r>
  <r>
    <x v="0"/>
    <x v="19"/>
    <n v="125267"/>
  </r>
  <r>
    <x v="0"/>
    <x v="20"/>
    <n v="91161"/>
  </r>
  <r>
    <x v="0"/>
    <x v="21"/>
    <n v="77887"/>
  </r>
  <r>
    <x v="0"/>
    <x v="22"/>
    <n v="67046"/>
  </r>
  <r>
    <x v="0"/>
    <x v="23"/>
    <n v="48120"/>
  </r>
  <r>
    <x v="1"/>
    <x v="0"/>
    <n v="32244"/>
  </r>
  <r>
    <x v="1"/>
    <x v="1"/>
    <n v="20146"/>
  </r>
  <r>
    <x v="1"/>
    <x v="2"/>
    <n v="11919"/>
  </r>
  <r>
    <x v="1"/>
    <x v="3"/>
    <n v="8095"/>
  </r>
  <r>
    <x v="1"/>
    <x v="4"/>
    <n v="8894"/>
  </r>
  <r>
    <x v="1"/>
    <x v="5"/>
    <n v="33778"/>
  </r>
  <r>
    <x v="1"/>
    <x v="6"/>
    <n v="101257"/>
  </r>
  <r>
    <x v="1"/>
    <x v="7"/>
    <n v="199891"/>
  </r>
  <r>
    <x v="1"/>
    <x v="8"/>
    <n v="257580"/>
  </r>
  <r>
    <x v="1"/>
    <x v="9"/>
    <n v="170871"/>
  </r>
  <r>
    <x v="1"/>
    <x v="10"/>
    <n v="146472"/>
  </r>
  <r>
    <x v="1"/>
    <x v="11"/>
    <n v="171804"/>
  </r>
  <r>
    <x v="1"/>
    <x v="12"/>
    <n v="192798"/>
  </r>
  <r>
    <x v="1"/>
    <x v="13"/>
    <n v="188151"/>
  </r>
  <r>
    <x v="1"/>
    <x v="14"/>
    <n v="190696"/>
  </r>
  <r>
    <x v="1"/>
    <x v="15"/>
    <n v="238579"/>
  </r>
  <r>
    <x v="1"/>
    <x v="16"/>
    <n v="333735"/>
  </r>
  <r>
    <x v="1"/>
    <x v="17"/>
    <n v="379485"/>
  </r>
  <r>
    <x v="1"/>
    <x v="18"/>
    <n v="294415"/>
  </r>
  <r>
    <x v="1"/>
    <x v="19"/>
    <n v="204279"/>
  </r>
  <r>
    <x v="1"/>
    <x v="20"/>
    <n v="141932"/>
  </r>
  <r>
    <x v="1"/>
    <x v="21"/>
    <n v="110501"/>
  </r>
  <r>
    <x v="1"/>
    <x v="22"/>
    <n v="80291"/>
  </r>
  <r>
    <x v="1"/>
    <x v="23"/>
    <n v="507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2.891579939777198"/>
    <n v="2077478"/>
  </r>
  <r>
    <x v="1"/>
    <n v="12.1124648656132"/>
    <n v="35685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26.432082405499202"/>
    <n v="359693"/>
  </r>
  <r>
    <x v="0"/>
    <x v="1"/>
    <n v="22.255143718355999"/>
    <n v="241134"/>
  </r>
  <r>
    <x v="0"/>
    <x v="2"/>
    <n v="19.940817839841198"/>
    <n v="231068"/>
  </r>
  <r>
    <x v="0"/>
    <x v="3"/>
    <n v="19.1772197983796"/>
    <n v="235175"/>
  </r>
  <r>
    <x v="0"/>
    <x v="4"/>
    <n v="20.098871349852899"/>
    <n v="264158"/>
  </r>
  <r>
    <x v="0"/>
    <x v="5"/>
    <n v="22.515726692103598"/>
    <n v="323233"/>
  </r>
  <r>
    <x v="0"/>
    <x v="6"/>
    <n v="25.9518075194738"/>
    <n v="423017"/>
  </r>
  <r>
    <x v="1"/>
    <x v="0"/>
    <n v="13.450323059115"/>
    <n v="400126"/>
  </r>
  <r>
    <x v="1"/>
    <x v="1"/>
    <n v="11.601994779211999"/>
    <n v="514916"/>
  </r>
  <r>
    <x v="1"/>
    <x v="2"/>
    <n v="11.677170334912701"/>
    <n v="560877"/>
  </r>
  <r>
    <x v="1"/>
    <x v="3"/>
    <n v="11.5879813244131"/>
    <n v="552751"/>
  </r>
  <r>
    <x v="1"/>
    <x v="4"/>
    <n v="11.705088807752"/>
    <n v="564690"/>
  </r>
  <r>
    <x v="1"/>
    <x v="5"/>
    <n v="12.0543784349489"/>
    <n v="521247"/>
  </r>
  <r>
    <x v="1"/>
    <x v="6"/>
    <n v="13.2622774357241"/>
    <n v="4539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423A4-BC90-144A-8E1F-83262321B25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5:C8" firstHeaderRow="0" firstDataRow="1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ride" fld="1" baseField="0" baseItem="0"/>
    <dataField name="Sum of rides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E660A-8C7C-B444-9BB6-465657FBAD3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1:I10" firstHeaderRow="1" firstDataRow="2" firstDataCol="1"/>
  <pivotFields count="4">
    <pivotField axis="axisCol" showAll="0">
      <items count="3">
        <item x="0"/>
        <item x="1"/>
        <item t="default"/>
      </items>
    </pivotField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avg_ride" fld="2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Casual rides spike on weekends; members stay steady through weekdays.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F6226-6C9D-D649-B241-9460955F329A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N10" firstHeaderRow="1" firstDataRow="2" firstDataCol="1"/>
  <pivotFields count="4">
    <pivotField axis="axisCol" showAll="0">
      <items count="3">
        <item x="0"/>
        <item x="1"/>
        <item t="default"/>
      </items>
    </pivotField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rid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D6C81-504D-2645-AA2A-25B1AF8AC98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:H27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rides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F5A78-01D7-554F-AF93-2430419A606E}" name="Table1" displayName="Table1" ref="A1:C3" totalsRowShown="0" headerRowBorderDxfId="19" tableBorderDxfId="18" totalsRowBorderDxfId="17">
  <autoFilter ref="A1:C3" xr:uid="{24DF5A78-01D7-554F-AF93-2430419A606E}"/>
  <tableColumns count="3">
    <tableColumn id="1" xr3:uid="{B2E3F0D5-83FF-CB4B-97FE-29DF7BAA77F7}" name="member_casual" dataDxfId="16"/>
    <tableColumn id="2" xr3:uid="{2B49ECC7-1DE7-AF48-8986-EB46A9E6E0D2}" name="avg_ride" dataDxfId="15"/>
    <tableColumn id="3" xr3:uid="{02C0B410-1871-0142-9D69-5B36C4C4AFDF}" name="rid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C7166F-CAB3-5B4B-B63C-B8874DE68888}" name="Table3" displayName="Table3" ref="A1:D15" totalsRowShown="0" headerRowDxfId="13" headerRowBorderDxfId="12" tableBorderDxfId="11" totalsRowBorderDxfId="10">
  <autoFilter ref="A1:D15" xr:uid="{49C7166F-CAB3-5B4B-B63C-B8874DE68888}"/>
  <tableColumns count="4">
    <tableColumn id="1" xr3:uid="{796C1248-4528-FD44-AEA1-A1A44E63A34A}" name="member_casual" dataDxfId="9"/>
    <tableColumn id="2" xr3:uid="{60934ED4-A681-E94D-8FB1-2315BFECC179}" name="day_of_week" dataDxfId="8"/>
    <tableColumn id="3" xr3:uid="{38DF3996-C452-4145-91A0-FD0213D492BD}" name="avg_ride" dataDxfId="7"/>
    <tableColumn id="4" xr3:uid="{02D60E11-E5EF-4344-9A09-7DD0E795D8E5}" name="rides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162C14-7618-2341-930F-ED0F75F36DB3}" name="Table2" displayName="Table2" ref="A1:C49" totalsRowShown="0" headerRowBorderDxfId="5" tableBorderDxfId="4" totalsRowBorderDxfId="3">
  <autoFilter ref="A1:C49" xr:uid="{C1162C14-7618-2341-930F-ED0F75F36DB3}"/>
  <tableColumns count="3">
    <tableColumn id="1" xr3:uid="{E34AF66A-664A-4948-8C6C-5F0CDBB87593}" name="member_casual" dataDxfId="2"/>
    <tableColumn id="2" xr3:uid="{0292C788-0DE8-6648-98A0-AAF573AEEE1B}" name="start_hour" dataDxfId="1"/>
    <tableColumn id="3" xr3:uid="{8D19CEDF-8ADA-8A4C-B176-9DEB2D3E09EF}" name="rid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4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4CEE-C8B2-4443-8C21-399D6694144A}">
  <dimension ref="A1:C46"/>
  <sheetViews>
    <sheetView tabSelected="1" topLeftCell="A6" zoomScale="87" workbookViewId="0">
      <selection activeCell="S29" sqref="S29"/>
    </sheetView>
  </sheetViews>
  <sheetFormatPr baseColWidth="10" defaultRowHeight="16" x14ac:dyDescent="0.2"/>
  <cols>
    <col min="1" max="1" width="13.33203125" bestFit="1" customWidth="1"/>
    <col min="2" max="2" width="14" bestFit="1" customWidth="1"/>
    <col min="3" max="3" width="11.33203125" bestFit="1" customWidth="1"/>
  </cols>
  <sheetData>
    <row r="1" spans="1:3" x14ac:dyDescent="0.2">
      <c r="A1" s="8" t="s">
        <v>0</v>
      </c>
      <c r="B1" s="9" t="s">
        <v>5</v>
      </c>
      <c r="C1" s="10" t="s">
        <v>2</v>
      </c>
    </row>
    <row r="2" spans="1:3" x14ac:dyDescent="0.2">
      <c r="A2" s="6" t="s">
        <v>3</v>
      </c>
      <c r="B2" s="4">
        <v>22.891579939777198</v>
      </c>
      <c r="C2" s="7">
        <v>2077478</v>
      </c>
    </row>
    <row r="3" spans="1:3" x14ac:dyDescent="0.2">
      <c r="A3" s="11" t="s">
        <v>4</v>
      </c>
      <c r="B3" s="12">
        <v>12.1124648656132</v>
      </c>
      <c r="C3" s="13">
        <v>3568517</v>
      </c>
    </row>
    <row r="5" spans="1:3" x14ac:dyDescent="0.2">
      <c r="A5" s="2" t="s">
        <v>14</v>
      </c>
      <c r="B5" t="s">
        <v>17</v>
      </c>
      <c r="C5" t="s">
        <v>16</v>
      </c>
    </row>
    <row r="6" spans="1:3" x14ac:dyDescent="0.2">
      <c r="A6" s="3" t="s">
        <v>3</v>
      </c>
      <c r="B6" s="17">
        <v>22.891579939777198</v>
      </c>
      <c r="C6" s="17">
        <v>2077478</v>
      </c>
    </row>
    <row r="7" spans="1:3" x14ac:dyDescent="0.2">
      <c r="A7" s="3" t="s">
        <v>4</v>
      </c>
      <c r="B7" s="17">
        <v>12.1124648656132</v>
      </c>
      <c r="C7" s="17">
        <v>3568517</v>
      </c>
    </row>
    <row r="8" spans="1:3" x14ac:dyDescent="0.2">
      <c r="A8" s="3" t="s">
        <v>15</v>
      </c>
      <c r="B8" s="17">
        <v>35.0040448053904</v>
      </c>
      <c r="C8" s="17">
        <v>5645995</v>
      </c>
    </row>
    <row r="11" spans="1:3" x14ac:dyDescent="0.2">
      <c r="A11" s="16" t="s">
        <v>18</v>
      </c>
      <c r="B11" s="5">
        <f>SUMPRODUCT(B2:B3,C2:C3)/SUM(C2:C3)</f>
        <v>16.078705435440853</v>
      </c>
    </row>
    <row r="15" spans="1:3" x14ac:dyDescent="0.2">
      <c r="A15" s="15"/>
      <c r="B15" s="15"/>
    </row>
    <row r="16" spans="1:3" x14ac:dyDescent="0.2">
      <c r="A16" s="15"/>
      <c r="B16" s="15"/>
    </row>
    <row r="46" ht="15" customHeight="1" x14ac:dyDescent="0.2"/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7175-1B44-DC43-B51D-0F6EB0637221}">
  <dimension ref="A1:N15"/>
  <sheetViews>
    <sheetView workbookViewId="0"/>
  </sheetViews>
  <sheetFormatPr baseColWidth="10" defaultRowHeight="16" x14ac:dyDescent="0.2"/>
  <cols>
    <col min="1" max="1" width="16.83203125" customWidth="1"/>
    <col min="2" max="2" width="14" customWidth="1"/>
    <col min="6" max="6" width="14" bestFit="1" customWidth="1"/>
    <col min="7" max="7" width="16" bestFit="1" customWidth="1"/>
    <col min="8" max="10" width="12.1640625" bestFit="1" customWidth="1"/>
    <col min="11" max="11" width="15.6640625" bestFit="1" customWidth="1"/>
    <col min="12" max="12" width="18.5" bestFit="1" customWidth="1"/>
  </cols>
  <sheetData>
    <row r="1" spans="1:14" x14ac:dyDescent="0.2">
      <c r="A1" s="8" t="s">
        <v>0</v>
      </c>
      <c r="B1" s="9" t="s">
        <v>6</v>
      </c>
      <c r="C1" s="9" t="s">
        <v>5</v>
      </c>
      <c r="D1" s="10" t="s">
        <v>2</v>
      </c>
      <c r="F1" s="2" t="s">
        <v>17</v>
      </c>
      <c r="G1" s="2" t="s">
        <v>19</v>
      </c>
      <c r="K1" s="2" t="s">
        <v>16</v>
      </c>
      <c r="L1" s="2" t="s">
        <v>19</v>
      </c>
    </row>
    <row r="2" spans="1:14" x14ac:dyDescent="0.2">
      <c r="A2" s="6" t="s">
        <v>3</v>
      </c>
      <c r="B2" s="1" t="s">
        <v>7</v>
      </c>
      <c r="C2" s="1">
        <v>26.432082405499202</v>
      </c>
      <c r="D2" s="7">
        <v>359693</v>
      </c>
      <c r="F2" s="2" t="s">
        <v>14</v>
      </c>
      <c r="G2" t="s">
        <v>3</v>
      </c>
      <c r="H2" t="s">
        <v>4</v>
      </c>
      <c r="I2" t="s">
        <v>15</v>
      </c>
      <c r="K2" s="2" t="s">
        <v>14</v>
      </c>
      <c r="L2" t="s">
        <v>3</v>
      </c>
      <c r="M2" t="s">
        <v>4</v>
      </c>
      <c r="N2" t="s">
        <v>15</v>
      </c>
    </row>
    <row r="3" spans="1:14" x14ac:dyDescent="0.2">
      <c r="A3" s="6" t="s">
        <v>3</v>
      </c>
      <c r="B3" s="1" t="s">
        <v>8</v>
      </c>
      <c r="C3" s="1">
        <v>22.255143718355999</v>
      </c>
      <c r="D3" s="7">
        <v>241134</v>
      </c>
      <c r="F3" s="3" t="s">
        <v>8</v>
      </c>
      <c r="G3">
        <v>22.255143718355999</v>
      </c>
      <c r="H3">
        <v>11.601994779211999</v>
      </c>
      <c r="I3">
        <v>33.857138497568002</v>
      </c>
      <c r="K3" s="3" t="s">
        <v>8</v>
      </c>
      <c r="L3">
        <v>241134</v>
      </c>
      <c r="M3">
        <v>514916</v>
      </c>
      <c r="N3">
        <v>756050</v>
      </c>
    </row>
    <row r="4" spans="1:14" x14ac:dyDescent="0.2">
      <c r="A4" s="6" t="s">
        <v>3</v>
      </c>
      <c r="B4" s="1" t="s">
        <v>9</v>
      </c>
      <c r="C4" s="1">
        <v>19.940817839841198</v>
      </c>
      <c r="D4" s="7">
        <v>231068</v>
      </c>
      <c r="F4" s="3" t="s">
        <v>9</v>
      </c>
      <c r="G4">
        <v>19.940817839841198</v>
      </c>
      <c r="H4">
        <v>11.677170334912701</v>
      </c>
      <c r="I4">
        <v>31.617988174753897</v>
      </c>
      <c r="K4" s="3" t="s">
        <v>9</v>
      </c>
      <c r="L4">
        <v>231068</v>
      </c>
      <c r="M4">
        <v>560877</v>
      </c>
      <c r="N4">
        <v>791945</v>
      </c>
    </row>
    <row r="5" spans="1:14" x14ac:dyDescent="0.2">
      <c r="A5" s="6" t="s">
        <v>3</v>
      </c>
      <c r="B5" s="1" t="s">
        <v>10</v>
      </c>
      <c r="C5" s="1">
        <v>19.1772197983796</v>
      </c>
      <c r="D5" s="7">
        <v>235175</v>
      </c>
      <c r="F5" s="3" t="s">
        <v>10</v>
      </c>
      <c r="G5">
        <v>19.1772197983796</v>
      </c>
      <c r="H5">
        <v>11.5879813244131</v>
      </c>
      <c r="I5">
        <v>30.7652011227927</v>
      </c>
      <c r="K5" s="3" t="s">
        <v>10</v>
      </c>
      <c r="L5">
        <v>235175</v>
      </c>
      <c r="M5">
        <v>552751</v>
      </c>
      <c r="N5">
        <v>787926</v>
      </c>
    </row>
    <row r="6" spans="1:14" x14ac:dyDescent="0.2">
      <c r="A6" s="6" t="s">
        <v>3</v>
      </c>
      <c r="B6" s="1" t="s">
        <v>11</v>
      </c>
      <c r="C6" s="1">
        <v>20.098871349852899</v>
      </c>
      <c r="D6" s="7">
        <v>264158</v>
      </c>
      <c r="F6" s="3" t="s">
        <v>11</v>
      </c>
      <c r="G6">
        <v>20.098871349852899</v>
      </c>
      <c r="H6">
        <v>11.705088807752</v>
      </c>
      <c r="I6">
        <v>31.803960157604898</v>
      </c>
      <c r="K6" s="3" t="s">
        <v>11</v>
      </c>
      <c r="L6">
        <v>264158</v>
      </c>
      <c r="M6">
        <v>564690</v>
      </c>
      <c r="N6">
        <v>828848</v>
      </c>
    </row>
    <row r="7" spans="1:14" x14ac:dyDescent="0.2">
      <c r="A7" s="6" t="s">
        <v>3</v>
      </c>
      <c r="B7" s="1" t="s">
        <v>12</v>
      </c>
      <c r="C7" s="1">
        <v>22.515726692103598</v>
      </c>
      <c r="D7" s="7">
        <v>323233</v>
      </c>
      <c r="F7" s="3" t="s">
        <v>12</v>
      </c>
      <c r="G7">
        <v>22.515726692103598</v>
      </c>
      <c r="H7">
        <v>12.0543784349489</v>
      </c>
      <c r="I7">
        <v>34.5701051270525</v>
      </c>
      <c r="K7" s="3" t="s">
        <v>12</v>
      </c>
      <c r="L7">
        <v>323233</v>
      </c>
      <c r="M7">
        <v>521247</v>
      </c>
      <c r="N7">
        <v>844480</v>
      </c>
    </row>
    <row r="8" spans="1:14" x14ac:dyDescent="0.2">
      <c r="A8" s="6" t="s">
        <v>3</v>
      </c>
      <c r="B8" s="1" t="s">
        <v>13</v>
      </c>
      <c r="C8" s="1">
        <v>25.9518075194738</v>
      </c>
      <c r="D8" s="7">
        <v>423017</v>
      </c>
      <c r="F8" s="3" t="s">
        <v>13</v>
      </c>
      <c r="G8">
        <v>25.9518075194738</v>
      </c>
      <c r="H8">
        <v>13.2622774357241</v>
      </c>
      <c r="I8">
        <v>39.214084955197897</v>
      </c>
      <c r="K8" s="3" t="s">
        <v>13</v>
      </c>
      <c r="L8">
        <v>423017</v>
      </c>
      <c r="M8">
        <v>453910</v>
      </c>
      <c r="N8">
        <v>876927</v>
      </c>
    </row>
    <row r="9" spans="1:14" x14ac:dyDescent="0.2">
      <c r="A9" s="6" t="s">
        <v>4</v>
      </c>
      <c r="B9" s="1" t="s">
        <v>7</v>
      </c>
      <c r="C9" s="1">
        <v>13.450323059115</v>
      </c>
      <c r="D9" s="7">
        <v>400126</v>
      </c>
      <c r="F9" s="3" t="s">
        <v>7</v>
      </c>
      <c r="G9">
        <v>26.432082405499202</v>
      </c>
      <c r="H9">
        <v>13.450323059115</v>
      </c>
      <c r="I9">
        <v>39.882405464614202</v>
      </c>
      <c r="K9" s="3" t="s">
        <v>7</v>
      </c>
      <c r="L9">
        <v>359693</v>
      </c>
      <c r="M9">
        <v>400126</v>
      </c>
      <c r="N9">
        <v>759819</v>
      </c>
    </row>
    <row r="10" spans="1:14" x14ac:dyDescent="0.2">
      <c r="A10" s="6" t="s">
        <v>4</v>
      </c>
      <c r="B10" s="1" t="s">
        <v>8</v>
      </c>
      <c r="C10" s="1">
        <v>11.601994779211999</v>
      </c>
      <c r="D10" s="7">
        <v>514916</v>
      </c>
      <c r="F10" s="3" t="s">
        <v>15</v>
      </c>
      <c r="G10">
        <v>156.3716693235063</v>
      </c>
      <c r="H10">
        <v>85.339214176077803</v>
      </c>
      <c r="I10">
        <v>241.7108834995841</v>
      </c>
      <c r="K10" s="3" t="s">
        <v>15</v>
      </c>
      <c r="L10">
        <v>2077478</v>
      </c>
      <c r="M10">
        <v>3568517</v>
      </c>
      <c r="N10">
        <v>5645995</v>
      </c>
    </row>
    <row r="11" spans="1:14" x14ac:dyDescent="0.2">
      <c r="A11" s="6" t="s">
        <v>4</v>
      </c>
      <c r="B11" s="1" t="s">
        <v>9</v>
      </c>
      <c r="C11" s="1">
        <v>11.677170334912701</v>
      </c>
      <c r="D11" s="7">
        <v>560877</v>
      </c>
    </row>
    <row r="12" spans="1:14" x14ac:dyDescent="0.2">
      <c r="A12" s="6" t="s">
        <v>4</v>
      </c>
      <c r="B12" s="1" t="s">
        <v>10</v>
      </c>
      <c r="C12" s="1">
        <v>11.5879813244131</v>
      </c>
      <c r="D12" s="7">
        <v>552751</v>
      </c>
    </row>
    <row r="13" spans="1:14" x14ac:dyDescent="0.2">
      <c r="A13" s="6" t="s">
        <v>4</v>
      </c>
      <c r="B13" s="1" t="s">
        <v>11</v>
      </c>
      <c r="C13" s="1">
        <v>11.705088807752</v>
      </c>
      <c r="D13" s="7">
        <v>564690</v>
      </c>
    </row>
    <row r="14" spans="1:14" x14ac:dyDescent="0.2">
      <c r="A14" s="6" t="s">
        <v>4</v>
      </c>
      <c r="B14" s="1" t="s">
        <v>12</v>
      </c>
      <c r="C14" s="1">
        <v>12.0543784349489</v>
      </c>
      <c r="D14" s="7">
        <v>521247</v>
      </c>
    </row>
    <row r="15" spans="1:14" x14ac:dyDescent="0.2">
      <c r="A15" s="11" t="s">
        <v>4</v>
      </c>
      <c r="B15" s="14" t="s">
        <v>13</v>
      </c>
      <c r="C15" s="14">
        <v>13.2622774357241</v>
      </c>
      <c r="D15" s="13">
        <v>453910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E0DD-876A-BB4C-9002-62D8AA8A2DAF}">
  <dimension ref="A1:H49"/>
  <sheetViews>
    <sheetView workbookViewId="0">
      <selection activeCell="T8" sqref="T8"/>
    </sheetView>
  </sheetViews>
  <sheetFormatPr baseColWidth="10" defaultRowHeight="16" x14ac:dyDescent="0.2"/>
  <cols>
    <col min="1" max="1" width="17" customWidth="1"/>
    <col min="2" max="2" width="12" customWidth="1"/>
    <col min="5" max="5" width="13" bestFit="1" customWidth="1"/>
    <col min="6" max="6" width="16" bestFit="1" customWidth="1"/>
    <col min="7" max="7" width="8.1640625" bestFit="1" customWidth="1"/>
    <col min="8" max="8" width="10.5" bestFit="1" customWidth="1"/>
  </cols>
  <sheetData>
    <row r="1" spans="1:8" x14ac:dyDescent="0.2">
      <c r="A1" s="8" t="s">
        <v>0</v>
      </c>
      <c r="B1" s="9" t="s">
        <v>1</v>
      </c>
      <c r="C1" s="10" t="s">
        <v>2</v>
      </c>
      <c r="E1" s="2" t="s">
        <v>16</v>
      </c>
      <c r="F1" s="2" t="s">
        <v>19</v>
      </c>
    </row>
    <row r="2" spans="1:8" x14ac:dyDescent="0.2">
      <c r="A2" s="6" t="s">
        <v>3</v>
      </c>
      <c r="B2" s="1">
        <v>0</v>
      </c>
      <c r="C2" s="7">
        <v>37865</v>
      </c>
      <c r="E2" s="2" t="s">
        <v>14</v>
      </c>
      <c r="F2" t="s">
        <v>3</v>
      </c>
      <c r="G2" t="s">
        <v>4</v>
      </c>
      <c r="H2" t="s">
        <v>15</v>
      </c>
    </row>
    <row r="3" spans="1:8" x14ac:dyDescent="0.2">
      <c r="A3" s="6" t="s">
        <v>3</v>
      </c>
      <c r="B3" s="1">
        <v>1</v>
      </c>
      <c r="C3" s="7">
        <v>24580</v>
      </c>
      <c r="E3" s="3">
        <v>0</v>
      </c>
      <c r="F3">
        <v>37865</v>
      </c>
      <c r="G3">
        <v>32244</v>
      </c>
      <c r="H3">
        <v>70109</v>
      </c>
    </row>
    <row r="4" spans="1:8" x14ac:dyDescent="0.2">
      <c r="A4" s="6" t="s">
        <v>3</v>
      </c>
      <c r="B4" s="1">
        <v>2</v>
      </c>
      <c r="C4" s="7">
        <v>15879</v>
      </c>
      <c r="E4" s="3">
        <v>1</v>
      </c>
      <c r="F4">
        <v>24580</v>
      </c>
      <c r="G4">
        <v>20146</v>
      </c>
      <c r="H4">
        <v>44726</v>
      </c>
    </row>
    <row r="5" spans="1:8" x14ac:dyDescent="0.2">
      <c r="A5" s="6" t="s">
        <v>3</v>
      </c>
      <c r="B5" s="1">
        <v>3</v>
      </c>
      <c r="C5" s="7">
        <v>8835</v>
      </c>
      <c r="E5" s="3">
        <v>2</v>
      </c>
      <c r="F5">
        <v>15879</v>
      </c>
      <c r="G5">
        <v>11919</v>
      </c>
      <c r="H5">
        <v>27798</v>
      </c>
    </row>
    <row r="6" spans="1:8" x14ac:dyDescent="0.2">
      <c r="A6" s="6" t="s">
        <v>3</v>
      </c>
      <c r="B6" s="1">
        <v>4</v>
      </c>
      <c r="C6" s="7">
        <v>7041</v>
      </c>
      <c r="E6" s="3">
        <v>3</v>
      </c>
      <c r="F6">
        <v>8835</v>
      </c>
      <c r="G6">
        <v>8095</v>
      </c>
      <c r="H6">
        <v>16930</v>
      </c>
    </row>
    <row r="7" spans="1:8" x14ac:dyDescent="0.2">
      <c r="A7" s="6" t="s">
        <v>3</v>
      </c>
      <c r="B7" s="1">
        <v>5</v>
      </c>
      <c r="C7" s="7">
        <v>12213</v>
      </c>
      <c r="E7" s="3">
        <v>4</v>
      </c>
      <c r="F7">
        <v>7041</v>
      </c>
      <c r="G7">
        <v>8894</v>
      </c>
      <c r="H7">
        <v>15935</v>
      </c>
    </row>
    <row r="8" spans="1:8" x14ac:dyDescent="0.2">
      <c r="A8" s="6" t="s">
        <v>3</v>
      </c>
      <c r="B8" s="1">
        <v>6</v>
      </c>
      <c r="C8" s="7">
        <v>28706</v>
      </c>
      <c r="E8" s="3">
        <v>5</v>
      </c>
      <c r="F8">
        <v>12213</v>
      </c>
      <c r="G8">
        <v>33778</v>
      </c>
      <c r="H8">
        <v>45991</v>
      </c>
    </row>
    <row r="9" spans="1:8" x14ac:dyDescent="0.2">
      <c r="A9" s="6" t="s">
        <v>3</v>
      </c>
      <c r="B9" s="1">
        <v>7</v>
      </c>
      <c r="C9" s="7">
        <v>53001</v>
      </c>
      <c r="E9" s="3">
        <v>6</v>
      </c>
      <c r="F9">
        <v>28706</v>
      </c>
      <c r="G9">
        <v>101257</v>
      </c>
      <c r="H9">
        <v>129963</v>
      </c>
    </row>
    <row r="10" spans="1:8" x14ac:dyDescent="0.2">
      <c r="A10" s="6" t="s">
        <v>3</v>
      </c>
      <c r="B10" s="1">
        <v>8</v>
      </c>
      <c r="C10" s="7">
        <v>75803</v>
      </c>
      <c r="E10" s="3">
        <v>7</v>
      </c>
      <c r="F10">
        <v>53001</v>
      </c>
      <c r="G10">
        <v>199891</v>
      </c>
      <c r="H10">
        <v>252892</v>
      </c>
    </row>
    <row r="11" spans="1:8" x14ac:dyDescent="0.2">
      <c r="A11" s="6" t="s">
        <v>3</v>
      </c>
      <c r="B11" s="1">
        <v>9</v>
      </c>
      <c r="C11" s="7">
        <v>74597</v>
      </c>
      <c r="E11" s="3">
        <v>8</v>
      </c>
      <c r="F11">
        <v>75803</v>
      </c>
      <c r="G11">
        <v>257580</v>
      </c>
      <c r="H11">
        <v>333383</v>
      </c>
    </row>
    <row r="12" spans="1:8" x14ac:dyDescent="0.2">
      <c r="A12" s="6" t="s">
        <v>3</v>
      </c>
      <c r="B12" s="1">
        <v>10</v>
      </c>
      <c r="C12" s="7">
        <v>89744</v>
      </c>
      <c r="E12" s="3">
        <v>9</v>
      </c>
      <c r="F12">
        <v>74597</v>
      </c>
      <c r="G12">
        <v>170871</v>
      </c>
      <c r="H12">
        <v>245468</v>
      </c>
    </row>
    <row r="13" spans="1:8" x14ac:dyDescent="0.2">
      <c r="A13" s="6" t="s">
        <v>3</v>
      </c>
      <c r="B13" s="1">
        <v>11</v>
      </c>
      <c r="C13" s="7">
        <v>114383</v>
      </c>
      <c r="E13" s="3">
        <v>10</v>
      </c>
      <c r="F13">
        <v>89744</v>
      </c>
      <c r="G13">
        <v>146472</v>
      </c>
      <c r="H13">
        <v>236216</v>
      </c>
    </row>
    <row r="14" spans="1:8" x14ac:dyDescent="0.2">
      <c r="A14" s="6" t="s">
        <v>3</v>
      </c>
      <c r="B14" s="1">
        <v>12</v>
      </c>
      <c r="C14" s="7">
        <v>133104</v>
      </c>
      <c r="E14" s="3">
        <v>11</v>
      </c>
      <c r="F14">
        <v>114383</v>
      </c>
      <c r="G14">
        <v>171804</v>
      </c>
      <c r="H14">
        <v>286187</v>
      </c>
    </row>
    <row r="15" spans="1:8" x14ac:dyDescent="0.2">
      <c r="A15" s="6" t="s">
        <v>3</v>
      </c>
      <c r="B15" s="1">
        <v>13</v>
      </c>
      <c r="C15" s="7">
        <v>137587</v>
      </c>
      <c r="E15" s="3">
        <v>12</v>
      </c>
      <c r="F15">
        <v>133104</v>
      </c>
      <c r="G15">
        <v>192798</v>
      </c>
      <c r="H15">
        <v>325902</v>
      </c>
    </row>
    <row r="16" spans="1:8" x14ac:dyDescent="0.2">
      <c r="A16" s="6" t="s">
        <v>3</v>
      </c>
      <c r="B16" s="1">
        <v>14</v>
      </c>
      <c r="C16" s="7">
        <v>144676</v>
      </c>
      <c r="E16" s="3">
        <v>13</v>
      </c>
      <c r="F16">
        <v>137587</v>
      </c>
      <c r="G16">
        <v>188151</v>
      </c>
      <c r="H16">
        <v>325738</v>
      </c>
    </row>
    <row r="17" spans="1:8" x14ac:dyDescent="0.2">
      <c r="A17" s="6" t="s">
        <v>3</v>
      </c>
      <c r="B17" s="1">
        <v>15</v>
      </c>
      <c r="C17" s="7">
        <v>161603</v>
      </c>
      <c r="E17" s="3">
        <v>14</v>
      </c>
      <c r="F17">
        <v>144676</v>
      </c>
      <c r="G17">
        <v>190696</v>
      </c>
      <c r="H17">
        <v>335372</v>
      </c>
    </row>
    <row r="18" spans="1:8" x14ac:dyDescent="0.2">
      <c r="A18" s="6" t="s">
        <v>3</v>
      </c>
      <c r="B18" s="1">
        <v>16</v>
      </c>
      <c r="C18" s="7">
        <v>183217</v>
      </c>
      <c r="E18" s="3">
        <v>15</v>
      </c>
      <c r="F18">
        <v>161603</v>
      </c>
      <c r="G18">
        <v>238579</v>
      </c>
      <c r="H18">
        <v>400182</v>
      </c>
    </row>
    <row r="19" spans="1:8" x14ac:dyDescent="0.2">
      <c r="A19" s="6" t="s">
        <v>3</v>
      </c>
      <c r="B19" s="1">
        <v>17</v>
      </c>
      <c r="C19" s="7">
        <v>196496</v>
      </c>
      <c r="E19" s="3">
        <v>16</v>
      </c>
      <c r="F19">
        <v>183217</v>
      </c>
      <c r="G19">
        <v>333735</v>
      </c>
      <c r="H19">
        <v>516952</v>
      </c>
    </row>
    <row r="20" spans="1:8" x14ac:dyDescent="0.2">
      <c r="A20" s="6" t="s">
        <v>3</v>
      </c>
      <c r="B20" s="1">
        <v>18</v>
      </c>
      <c r="C20" s="7">
        <v>168667</v>
      </c>
      <c r="E20" s="3">
        <v>17</v>
      </c>
      <c r="F20">
        <v>196496</v>
      </c>
      <c r="G20">
        <v>379485</v>
      </c>
      <c r="H20">
        <v>575981</v>
      </c>
    </row>
    <row r="21" spans="1:8" x14ac:dyDescent="0.2">
      <c r="A21" s="6" t="s">
        <v>3</v>
      </c>
      <c r="B21" s="1">
        <v>19</v>
      </c>
      <c r="C21" s="7">
        <v>125267</v>
      </c>
      <c r="E21" s="3">
        <v>18</v>
      </c>
      <c r="F21">
        <v>168667</v>
      </c>
      <c r="G21">
        <v>294415</v>
      </c>
      <c r="H21">
        <v>463082</v>
      </c>
    </row>
    <row r="22" spans="1:8" x14ac:dyDescent="0.2">
      <c r="A22" s="6" t="s">
        <v>3</v>
      </c>
      <c r="B22" s="1">
        <v>20</v>
      </c>
      <c r="C22" s="7">
        <v>91161</v>
      </c>
      <c r="E22" s="3">
        <v>19</v>
      </c>
      <c r="F22">
        <v>125267</v>
      </c>
      <c r="G22">
        <v>204279</v>
      </c>
      <c r="H22">
        <v>329546</v>
      </c>
    </row>
    <row r="23" spans="1:8" x14ac:dyDescent="0.2">
      <c r="A23" s="6" t="s">
        <v>3</v>
      </c>
      <c r="B23" s="1">
        <v>21</v>
      </c>
      <c r="C23" s="7">
        <v>77887</v>
      </c>
      <c r="E23" s="3">
        <v>20</v>
      </c>
      <c r="F23">
        <v>91161</v>
      </c>
      <c r="G23">
        <v>141932</v>
      </c>
      <c r="H23">
        <v>233093</v>
      </c>
    </row>
    <row r="24" spans="1:8" x14ac:dyDescent="0.2">
      <c r="A24" s="6" t="s">
        <v>3</v>
      </c>
      <c r="B24" s="1">
        <v>22</v>
      </c>
      <c r="C24" s="7">
        <v>67046</v>
      </c>
      <c r="E24" s="3">
        <v>21</v>
      </c>
      <c r="F24">
        <v>77887</v>
      </c>
      <c r="G24">
        <v>110501</v>
      </c>
      <c r="H24">
        <v>188388</v>
      </c>
    </row>
    <row r="25" spans="1:8" x14ac:dyDescent="0.2">
      <c r="A25" s="6" t="s">
        <v>3</v>
      </c>
      <c r="B25" s="1">
        <v>23</v>
      </c>
      <c r="C25" s="7">
        <v>48120</v>
      </c>
      <c r="E25" s="3">
        <v>22</v>
      </c>
      <c r="F25">
        <v>67046</v>
      </c>
      <c r="G25">
        <v>80291</v>
      </c>
      <c r="H25">
        <v>147337</v>
      </c>
    </row>
    <row r="26" spans="1:8" x14ac:dyDescent="0.2">
      <c r="A26" s="6" t="s">
        <v>4</v>
      </c>
      <c r="B26" s="1">
        <v>0</v>
      </c>
      <c r="C26" s="7">
        <v>32244</v>
      </c>
      <c r="E26" s="3">
        <v>23</v>
      </c>
      <c r="F26">
        <v>48120</v>
      </c>
      <c r="G26">
        <v>50704</v>
      </c>
      <c r="H26">
        <v>98824</v>
      </c>
    </row>
    <row r="27" spans="1:8" x14ac:dyDescent="0.2">
      <c r="A27" s="6" t="s">
        <v>4</v>
      </c>
      <c r="B27" s="1">
        <v>1</v>
      </c>
      <c r="C27" s="7">
        <v>20146</v>
      </c>
      <c r="E27" s="3" t="s">
        <v>15</v>
      </c>
      <c r="F27">
        <v>2077478</v>
      </c>
      <c r="G27">
        <v>3568517</v>
      </c>
      <c r="H27">
        <v>5645995</v>
      </c>
    </row>
    <row r="28" spans="1:8" x14ac:dyDescent="0.2">
      <c r="A28" s="6" t="s">
        <v>4</v>
      </c>
      <c r="B28" s="1">
        <v>2</v>
      </c>
      <c r="C28" s="7">
        <v>11919</v>
      </c>
    </row>
    <row r="29" spans="1:8" x14ac:dyDescent="0.2">
      <c r="A29" s="6" t="s">
        <v>4</v>
      </c>
      <c r="B29" s="1">
        <v>3</v>
      </c>
      <c r="C29" s="7">
        <v>8095</v>
      </c>
    </row>
    <row r="30" spans="1:8" x14ac:dyDescent="0.2">
      <c r="A30" s="6" t="s">
        <v>4</v>
      </c>
      <c r="B30" s="1">
        <v>4</v>
      </c>
      <c r="C30" s="7">
        <v>8894</v>
      </c>
    </row>
    <row r="31" spans="1:8" x14ac:dyDescent="0.2">
      <c r="A31" s="6" t="s">
        <v>4</v>
      </c>
      <c r="B31" s="1">
        <v>5</v>
      </c>
      <c r="C31" s="7">
        <v>33778</v>
      </c>
    </row>
    <row r="32" spans="1:8" x14ac:dyDescent="0.2">
      <c r="A32" s="6" t="s">
        <v>4</v>
      </c>
      <c r="B32" s="1">
        <v>6</v>
      </c>
      <c r="C32" s="7">
        <v>101257</v>
      </c>
    </row>
    <row r="33" spans="1:3" x14ac:dyDescent="0.2">
      <c r="A33" s="6" t="s">
        <v>4</v>
      </c>
      <c r="B33" s="1">
        <v>7</v>
      </c>
      <c r="C33" s="7">
        <v>199891</v>
      </c>
    </row>
    <row r="34" spans="1:3" x14ac:dyDescent="0.2">
      <c r="A34" s="6" t="s">
        <v>4</v>
      </c>
      <c r="B34" s="1">
        <v>8</v>
      </c>
      <c r="C34" s="7">
        <v>257580</v>
      </c>
    </row>
    <row r="35" spans="1:3" x14ac:dyDescent="0.2">
      <c r="A35" s="6" t="s">
        <v>4</v>
      </c>
      <c r="B35" s="1">
        <v>9</v>
      </c>
      <c r="C35" s="7">
        <v>170871</v>
      </c>
    </row>
    <row r="36" spans="1:3" x14ac:dyDescent="0.2">
      <c r="A36" s="6" t="s">
        <v>4</v>
      </c>
      <c r="B36" s="1">
        <v>10</v>
      </c>
      <c r="C36" s="7">
        <v>146472</v>
      </c>
    </row>
    <row r="37" spans="1:3" x14ac:dyDescent="0.2">
      <c r="A37" s="6" t="s">
        <v>4</v>
      </c>
      <c r="B37" s="1">
        <v>11</v>
      </c>
      <c r="C37" s="7">
        <v>171804</v>
      </c>
    </row>
    <row r="38" spans="1:3" x14ac:dyDescent="0.2">
      <c r="A38" s="6" t="s">
        <v>4</v>
      </c>
      <c r="B38" s="1">
        <v>12</v>
      </c>
      <c r="C38" s="7">
        <v>192798</v>
      </c>
    </row>
    <row r="39" spans="1:3" x14ac:dyDescent="0.2">
      <c r="A39" s="6" t="s">
        <v>4</v>
      </c>
      <c r="B39" s="1">
        <v>13</v>
      </c>
      <c r="C39" s="7">
        <v>188151</v>
      </c>
    </row>
    <row r="40" spans="1:3" x14ac:dyDescent="0.2">
      <c r="A40" s="6" t="s">
        <v>4</v>
      </c>
      <c r="B40" s="1">
        <v>14</v>
      </c>
      <c r="C40" s="7">
        <v>190696</v>
      </c>
    </row>
    <row r="41" spans="1:3" x14ac:dyDescent="0.2">
      <c r="A41" s="6" t="s">
        <v>4</v>
      </c>
      <c r="B41" s="1">
        <v>15</v>
      </c>
      <c r="C41" s="7">
        <v>238579</v>
      </c>
    </row>
    <row r="42" spans="1:3" x14ac:dyDescent="0.2">
      <c r="A42" s="6" t="s">
        <v>4</v>
      </c>
      <c r="B42" s="1">
        <v>16</v>
      </c>
      <c r="C42" s="7">
        <v>333735</v>
      </c>
    </row>
    <row r="43" spans="1:3" x14ac:dyDescent="0.2">
      <c r="A43" s="6" t="s">
        <v>4</v>
      </c>
      <c r="B43" s="1">
        <v>17</v>
      </c>
      <c r="C43" s="7">
        <v>379485</v>
      </c>
    </row>
    <row r="44" spans="1:3" x14ac:dyDescent="0.2">
      <c r="A44" s="6" t="s">
        <v>4</v>
      </c>
      <c r="B44" s="1">
        <v>18</v>
      </c>
      <c r="C44" s="7">
        <v>294415</v>
      </c>
    </row>
    <row r="45" spans="1:3" x14ac:dyDescent="0.2">
      <c r="A45" s="6" t="s">
        <v>4</v>
      </c>
      <c r="B45" s="1">
        <v>19</v>
      </c>
      <c r="C45" s="7">
        <v>204279</v>
      </c>
    </row>
    <row r="46" spans="1:3" x14ac:dyDescent="0.2">
      <c r="A46" s="6" t="s">
        <v>4</v>
      </c>
      <c r="B46" s="1">
        <v>20</v>
      </c>
      <c r="C46" s="7">
        <v>141932</v>
      </c>
    </row>
    <row r="47" spans="1:3" x14ac:dyDescent="0.2">
      <c r="A47" s="6" t="s">
        <v>4</v>
      </c>
      <c r="B47" s="1">
        <v>21</v>
      </c>
      <c r="C47" s="7">
        <v>110501</v>
      </c>
    </row>
    <row r="48" spans="1:3" x14ac:dyDescent="0.2">
      <c r="A48" s="6" t="s">
        <v>4</v>
      </c>
      <c r="B48" s="1">
        <v>22</v>
      </c>
      <c r="C48" s="7">
        <v>80291</v>
      </c>
    </row>
    <row r="49" spans="1:3" x14ac:dyDescent="0.2">
      <c r="A49" s="11" t="s">
        <v>4</v>
      </c>
      <c r="B49" s="14">
        <v>23</v>
      </c>
      <c r="C49" s="13">
        <v>50704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summary_by_user</vt:lpstr>
      <vt:lpstr>summary_by_weekday</vt:lpstr>
      <vt:lpstr>summary_by_hour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UG-Ebrahimoff, Solomon</dc:creator>
  <cp:lastModifiedBy>UG-Ebrahimoff, Solomon</cp:lastModifiedBy>
  <dcterms:created xsi:type="dcterms:W3CDTF">2025-09-18T09:40:10Z</dcterms:created>
  <dcterms:modified xsi:type="dcterms:W3CDTF">2025-12-04T11:58:25Z</dcterms:modified>
</cp:coreProperties>
</file>